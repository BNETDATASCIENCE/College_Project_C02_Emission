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2"/>
  </bookViews>
  <sheets>
    <sheet name="FACTOR DE EMISION OM SIMPLE" sheetId="2" r:id="rId1"/>
    <sheet name="CALCULO" sheetId="1" r:id="rId2"/>
    <sheet name="METODOLOGIA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Y20" i="1" l="1"/>
  <c r="Y21" i="1"/>
  <c r="X21" i="1"/>
  <c r="X20" i="1"/>
  <c r="X19" i="1"/>
  <c r="X18" i="1"/>
  <c r="V21" i="1" l="1"/>
  <c r="V20" i="1"/>
  <c r="V19" i="1"/>
  <c r="V18" i="1"/>
  <c r="V17" i="1"/>
  <c r="V16" i="1"/>
  <c r="V15" i="1"/>
  <c r="V14" i="1"/>
  <c r="V13" i="1"/>
  <c r="V12" i="1"/>
  <c r="V11" i="1"/>
  <c r="Q21" i="1" l="1"/>
  <c r="P21" i="1"/>
  <c r="O21" i="1"/>
  <c r="Q20" i="1"/>
  <c r="P20" i="1"/>
  <c r="O20" i="1"/>
  <c r="Q19" i="1"/>
  <c r="P19" i="1"/>
  <c r="O19" i="1"/>
  <c r="Q18" i="1"/>
  <c r="P18" i="1"/>
  <c r="O18" i="1"/>
  <c r="Q17" i="1"/>
  <c r="P17" i="1"/>
  <c r="O17" i="1"/>
  <c r="Q16" i="1"/>
  <c r="P16" i="1"/>
  <c r="O16" i="1"/>
  <c r="Q15" i="1"/>
  <c r="P15" i="1"/>
  <c r="O15" i="1"/>
  <c r="Q14" i="1"/>
  <c r="P14" i="1"/>
  <c r="O14" i="1"/>
  <c r="Q13" i="1"/>
  <c r="P13" i="1"/>
  <c r="O13" i="1"/>
  <c r="Q12" i="1"/>
  <c r="P12" i="1"/>
  <c r="O12" i="1"/>
  <c r="Q11" i="1"/>
  <c r="P11" i="1"/>
  <c r="O11" i="1"/>
  <c r="N21" i="1"/>
  <c r="N20" i="1"/>
  <c r="R20" i="1" s="1"/>
  <c r="N19" i="1"/>
  <c r="N18" i="1"/>
  <c r="N17" i="1"/>
  <c r="N16" i="1"/>
  <c r="R16" i="1" s="1"/>
  <c r="X16" i="1" s="1"/>
  <c r="N15" i="1"/>
  <c r="N14" i="1"/>
  <c r="N13" i="1"/>
  <c r="N12" i="1"/>
  <c r="R12" i="1" s="1"/>
  <c r="X12" i="1" s="1"/>
  <c r="N11" i="1"/>
  <c r="R13" i="1" l="1"/>
  <c r="X13" i="1" s="1"/>
  <c r="R11" i="1"/>
  <c r="X11" i="1" s="1"/>
  <c r="Y13" i="1" s="1"/>
  <c r="R15" i="1"/>
  <c r="X15" i="1" s="1"/>
  <c r="R19" i="1"/>
  <c r="R17" i="1"/>
  <c r="X17" i="1" s="1"/>
  <c r="Y19" i="1" s="1"/>
  <c r="R21" i="1"/>
  <c r="R14" i="1"/>
  <c r="X14" i="1" s="1"/>
  <c r="R18" i="1"/>
  <c r="Y14" i="1" l="1"/>
  <c r="Y18" i="1"/>
  <c r="Y17" i="1"/>
  <c r="Y16" i="1"/>
  <c r="Y15" i="1"/>
</calcChain>
</file>

<file path=xl/sharedStrings.xml><?xml version="1.0" encoding="utf-8"?>
<sst xmlns="http://schemas.openxmlformats.org/spreadsheetml/2006/main" count="81" uniqueCount="42">
  <si>
    <t xml:space="preserve"> tCO2/dam3</t>
  </si>
  <si>
    <t xml:space="preserve"> tCO2/t</t>
  </si>
  <si>
    <t>AÑO</t>
  </si>
  <si>
    <t>Gas Natural</t>
  </si>
  <si>
    <t>Fuel Oil</t>
  </si>
  <si>
    <t>Gasoil</t>
  </si>
  <si>
    <t>Fuente</t>
  </si>
  <si>
    <t>kcal/m3</t>
  </si>
  <si>
    <t>kcal/kg</t>
  </si>
  <si>
    <t>kcal/lt</t>
  </si>
  <si>
    <t>kg/lt</t>
  </si>
  <si>
    <t>PODER CALORIFICO</t>
  </si>
  <si>
    <t>DENSIDAD</t>
  </si>
  <si>
    <t>Segunda C.N.A.</t>
  </si>
  <si>
    <t>Tercera C.N.A.</t>
  </si>
  <si>
    <t>dam3</t>
  </si>
  <si>
    <t>t</t>
  </si>
  <si>
    <t xml:space="preserve"> t</t>
  </si>
  <si>
    <t>tCO2</t>
  </si>
  <si>
    <t>TOTAL</t>
  </si>
  <si>
    <t>MWh</t>
  </si>
  <si>
    <t>Importación</t>
  </si>
  <si>
    <t>Total</t>
  </si>
  <si>
    <t>FACTOR DE EMISION DE RED</t>
  </si>
  <si>
    <t>Margen de Operación</t>
  </si>
  <si>
    <t>tCO2/MWh</t>
  </si>
  <si>
    <t>Ex-post</t>
  </si>
  <si>
    <t>Ex-ante</t>
  </si>
  <si>
    <t>Generación</t>
  </si>
  <si>
    <t>Térmica</t>
  </si>
  <si>
    <t>Emisiones</t>
  </si>
  <si>
    <t>Consumo Combustible</t>
  </si>
  <si>
    <t>Carbón</t>
  </si>
  <si>
    <t>Factores de Emisión</t>
  </si>
  <si>
    <t xml:space="preserve">FACTOR DE EMISION DE LA RED </t>
  </si>
  <si>
    <t>Año</t>
  </si>
  <si>
    <t xml:space="preserve">CALCULO DEL FACTOR DE EMISION </t>
  </si>
  <si>
    <t xml:space="preserve">Los cálculos de este factor se han realizado siguiendo la metodología ACM0002 aprobada por la junta Ejecutiva del Mecanismo para un Desarrollo Limpio. </t>
  </si>
  <si>
    <t xml:space="preserve">De las opciones propuestas se utiliza el Método Simple que equivale al promedio de las máquinas térmicas dado que las máquinas de bajo costo son el 35% de la generación total. </t>
  </si>
  <si>
    <t xml:space="preserve">Las máquinas de bajo costo comprenden las tecnologías hidroeléctricas, eólicas, biomasa, nuclear y solar. </t>
  </si>
  <si>
    <t xml:space="preserve">Para el cálculo del Margen de Operación ex-post  se considera el total de la generación eléctrica respecto de las emisiones de CO2 producidas por la quema del combustible utilizado. </t>
  </si>
  <si>
    <t xml:space="preserve">Para el cálculo del Margen de Operación ex-ante se considera el promedio de los tres años del Margen de Operación ex-post.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</si>
</sst>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 * #,##0.00_ ;_ * \-#,##0.00_ ;_ * &quot;-&quot;??_ ;_ @_ "/>
    <numFmt numFmtId="164" formatCode="_ * #,##0_ ;_ * \-#,##0_ ;_ * &quot;-&quot;??_ ;_ @_ "/>
    <numFmt numFmtId="165" formatCode="_ * #,##0.000_ ;_ * \-#,##0.000_ ;_ * &quot;-&quot;??_ ;_ @_ "/>
    <numFmt numFmtId="166" formatCode="0.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55">
    <xf numFmtId="0" fontId="0" fillId="0" borderId="0" xfId="0"/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2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0" fillId="0" borderId="0" xfId="1" applyNumberFormat="1" applyFont="1"/>
    <xf numFmtId="164" fontId="0" fillId="0" borderId="0" xfId="1" applyNumberFormat="1" applyFont="1" applyAlignment="1">
      <alignment horizontal="center"/>
    </xf>
    <xf numFmtId="164" fontId="0" fillId="0" borderId="0" xfId="0" applyNumberFormat="1"/>
    <xf numFmtId="0" fontId="0" fillId="0" borderId="0" xfId="0" applyAlignment="1">
      <alignment horizontal="center"/>
    </xf>
    <xf numFmtId="0" fontId="4" fillId="0" borderId="0" xfId="0" applyFont="1"/>
    <xf numFmtId="165" fontId="0" fillId="0" borderId="0" xfId="0" applyNumberFormat="1"/>
    <xf numFmtId="165" fontId="0" fillId="0" borderId="0" xfId="1" applyNumberFormat="1" applyFont="1" applyAlignment="1">
      <alignment horizontal="center"/>
    </xf>
    <xf numFmtId="0" fontId="1" fillId="0" borderId="1" xfId="0" applyFon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0" borderId="5" xfId="0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13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4" borderId="3" xfId="0" applyFill="1" applyBorder="1" applyAlignment="1">
      <alignment horizontal="center" wrapText="1"/>
    </xf>
    <xf numFmtId="0" fontId="0" fillId="4" borderId="7" xfId="0" applyFill="1" applyBorder="1" applyAlignment="1">
      <alignment horizontal="center" wrapText="1"/>
    </xf>
    <xf numFmtId="0" fontId="0" fillId="4" borderId="10" xfId="0" applyFill="1" applyBorder="1" applyAlignment="1">
      <alignment horizontal="center"/>
    </xf>
    <xf numFmtId="0" fontId="0" fillId="3" borderId="5" xfId="0" applyFill="1" applyBorder="1" applyAlignment="1">
      <alignment horizontal="center" wrapText="1"/>
    </xf>
    <xf numFmtId="0" fontId="0" fillId="3" borderId="3" xfId="0" applyFill="1" applyBorder="1" applyAlignment="1">
      <alignment horizontal="center" wrapText="1"/>
    </xf>
    <xf numFmtId="0" fontId="0" fillId="3" borderId="7" xfId="0" applyFill="1" applyBorder="1" applyAlignment="1">
      <alignment horizontal="center" wrapText="1"/>
    </xf>
    <xf numFmtId="0" fontId="0" fillId="3" borderId="8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0" fillId="3" borderId="6" xfId="0" applyFill="1" applyBorder="1" applyAlignment="1">
      <alignment horizontal="center" wrapText="1"/>
    </xf>
    <xf numFmtId="0" fontId="0" fillId="3" borderId="9" xfId="0" applyFill="1" applyBorder="1" applyAlignment="1">
      <alignment horizontal="center"/>
    </xf>
    <xf numFmtId="0" fontId="0" fillId="3" borderId="3" xfId="0" applyFont="1" applyFill="1" applyBorder="1" applyAlignment="1">
      <alignment horizontal="center" wrapText="1"/>
    </xf>
    <xf numFmtId="0" fontId="2" fillId="3" borderId="4" xfId="0" applyFont="1" applyFill="1" applyBorder="1"/>
    <xf numFmtId="0" fontId="0" fillId="3" borderId="8" xfId="0" applyFill="1" applyBorder="1"/>
    <xf numFmtId="0" fontId="4" fillId="0" borderId="0" xfId="0" applyFont="1" applyAlignment="1">
      <alignment horizontal="center"/>
    </xf>
    <xf numFmtId="0" fontId="0" fillId="3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5" borderId="2" xfId="0" applyFill="1" applyBorder="1" applyAlignment="1">
      <alignment horizontal="center"/>
    </xf>
    <xf numFmtId="0" fontId="0" fillId="5" borderId="12" xfId="0" applyFill="1" applyBorder="1" applyAlignment="1">
      <alignment horizontal="center"/>
    </xf>
    <xf numFmtId="0" fontId="0" fillId="0" borderId="0" xfId="0" applyAlignment="1">
      <alignment wrapText="1"/>
    </xf>
    <xf numFmtId="0" fontId="1" fillId="0" borderId="0" xfId="0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17"/>
  <sheetViews>
    <sheetView workbookViewId="0">
      <selection activeCell="I10" sqref="I10"/>
    </sheetView>
  </sheetViews>
  <sheetFormatPr baseColWidth="10" defaultRowHeight="15" x14ac:dyDescent="0.25"/>
  <cols>
    <col min="2" max="4" width="20.85546875" customWidth="1"/>
  </cols>
  <sheetData>
    <row r="2" spans="2:4" ht="26.25" x14ac:dyDescent="0.4">
      <c r="B2" s="45" t="s">
        <v>34</v>
      </c>
      <c r="C2" s="45"/>
      <c r="D2" s="45"/>
    </row>
    <row r="4" spans="2:4" x14ac:dyDescent="0.25">
      <c r="C4" s="46" t="s">
        <v>24</v>
      </c>
      <c r="D4" s="46"/>
    </row>
    <row r="5" spans="2:4" x14ac:dyDescent="0.25">
      <c r="B5" s="9"/>
      <c r="C5" s="20" t="s">
        <v>26</v>
      </c>
      <c r="D5" s="20" t="s">
        <v>27</v>
      </c>
    </row>
    <row r="6" spans="2:4" x14ac:dyDescent="0.25">
      <c r="B6" s="18" t="s">
        <v>35</v>
      </c>
      <c r="C6" s="21" t="s">
        <v>25</v>
      </c>
      <c r="D6" s="21" t="s">
        <v>25</v>
      </c>
    </row>
    <row r="7" spans="2:4" x14ac:dyDescent="0.25">
      <c r="B7" s="13">
        <v>2007</v>
      </c>
      <c r="C7" s="14">
        <v>0.51394754676583698</v>
      </c>
      <c r="D7" s="14">
        <v>0.51</v>
      </c>
    </row>
    <row r="8" spans="2:4" x14ac:dyDescent="0.25">
      <c r="B8" s="13">
        <v>2008</v>
      </c>
      <c r="C8" s="14">
        <v>0.53413006340222646</v>
      </c>
      <c r="D8" s="14">
        <v>0.52500000000000002</v>
      </c>
    </row>
    <row r="9" spans="2:4" x14ac:dyDescent="0.25">
      <c r="B9" s="13">
        <v>2009</v>
      </c>
      <c r="C9" s="14">
        <v>0.52469029170053738</v>
      </c>
      <c r="D9" s="14">
        <v>0.52425596728953361</v>
      </c>
    </row>
    <row r="10" spans="2:4" x14ac:dyDescent="0.25">
      <c r="B10" s="13">
        <v>2010</v>
      </c>
      <c r="C10" s="14">
        <v>0.51477864409574714</v>
      </c>
      <c r="D10" s="14">
        <v>0.52453299973283707</v>
      </c>
    </row>
    <row r="11" spans="2:4" x14ac:dyDescent="0.25">
      <c r="B11" s="13">
        <v>2011</v>
      </c>
      <c r="C11" s="14">
        <v>0.5681338331447553</v>
      </c>
      <c r="D11" s="14">
        <v>0.5358675896470132</v>
      </c>
    </row>
    <row r="12" spans="2:4" x14ac:dyDescent="0.25">
      <c r="B12" s="13">
        <v>2012</v>
      </c>
      <c r="C12" s="14">
        <v>0.58537242279584045</v>
      </c>
      <c r="D12" s="14">
        <v>0.556094966678781</v>
      </c>
    </row>
    <row r="13" spans="2:4" x14ac:dyDescent="0.25">
      <c r="B13" s="13">
        <v>2013</v>
      </c>
      <c r="C13" s="14">
        <v>0.56243384023866405</v>
      </c>
      <c r="D13" s="14">
        <v>0.57198003205975334</v>
      </c>
    </row>
    <row r="14" spans="2:4" x14ac:dyDescent="0.25">
      <c r="B14" s="13">
        <v>2014</v>
      </c>
      <c r="C14" s="14">
        <v>0.53089183480788538</v>
      </c>
      <c r="D14" s="14">
        <v>0.55956603261412996</v>
      </c>
    </row>
    <row r="15" spans="2:4" x14ac:dyDescent="0.25">
      <c r="B15" s="13">
        <v>2015</v>
      </c>
      <c r="C15" s="14">
        <v>0.52754991621246483</v>
      </c>
      <c r="D15" s="14">
        <v>0.54029186375300475</v>
      </c>
    </row>
    <row r="16" spans="2:4" x14ac:dyDescent="0.25">
      <c r="B16" s="13">
        <v>2016</v>
      </c>
      <c r="C16" s="14">
        <v>0.51676815003801402</v>
      </c>
      <c r="D16" s="14">
        <v>0.52506996701945463</v>
      </c>
    </row>
    <row r="17" spans="2:4" x14ac:dyDescent="0.25">
      <c r="B17" s="13">
        <v>2017</v>
      </c>
      <c r="C17" s="14">
        <v>0.47975251953481718</v>
      </c>
      <c r="D17" s="14">
        <v>0.50802352859509869</v>
      </c>
    </row>
  </sheetData>
  <mergeCells count="2">
    <mergeCell ref="B2:D2"/>
    <mergeCell ref="C4:D4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Y22"/>
  <sheetViews>
    <sheetView workbookViewId="0">
      <selection activeCell="E26" sqref="E26"/>
    </sheetView>
  </sheetViews>
  <sheetFormatPr baseColWidth="10" defaultColWidth="9.140625" defaultRowHeight="15" x14ac:dyDescent="0.25"/>
  <cols>
    <col min="1" max="1" width="2.28515625" customWidth="1"/>
    <col min="3" max="3" width="12.85546875" style="2" customWidth="1"/>
    <col min="4" max="4" width="10.140625" style="2" customWidth="1"/>
    <col min="5" max="5" width="9" style="2" customWidth="1"/>
    <col min="6" max="6" width="9.7109375" style="2" customWidth="1"/>
    <col min="7" max="7" width="12.42578125" style="3" customWidth="1"/>
    <col min="8" max="8" width="2.42578125" customWidth="1"/>
    <col min="9" max="9" width="11.28515625" customWidth="1"/>
    <col min="10" max="11" width="10" customWidth="1"/>
    <col min="12" max="12" width="9.85546875" customWidth="1"/>
    <col min="13" max="13" width="1.85546875" customWidth="1"/>
    <col min="14" max="17" width="11.7109375" customWidth="1"/>
    <col min="18" max="18" width="11" bestFit="1" customWidth="1"/>
    <col min="19" max="19" width="2.140625" customWidth="1"/>
    <col min="20" max="21" width="11.7109375" customWidth="1"/>
    <col min="22" max="22" width="11" bestFit="1" customWidth="1"/>
    <col min="23" max="23" width="2.85546875" customWidth="1"/>
    <col min="24" max="24" width="13.28515625" customWidth="1"/>
    <col min="25" max="25" width="11.7109375" customWidth="1"/>
  </cols>
  <sheetData>
    <row r="3" spans="2:25" x14ac:dyDescent="0.25">
      <c r="I3" s="50" t="s">
        <v>11</v>
      </c>
      <c r="J3" s="50"/>
      <c r="K3" s="50"/>
      <c r="L3" s="50"/>
      <c r="N3" s="2" t="s">
        <v>12</v>
      </c>
    </row>
    <row r="4" spans="2:25" ht="26.25" x14ac:dyDescent="0.4">
      <c r="B4" s="10" t="s">
        <v>23</v>
      </c>
      <c r="I4" s="22" t="s">
        <v>3</v>
      </c>
      <c r="J4" s="23" t="s">
        <v>4</v>
      </c>
      <c r="K4" s="23" t="s">
        <v>5</v>
      </c>
      <c r="L4" s="25" t="s">
        <v>32</v>
      </c>
      <c r="N4" s="24" t="s">
        <v>5</v>
      </c>
    </row>
    <row r="5" spans="2:25" x14ac:dyDescent="0.25">
      <c r="I5" s="26" t="s">
        <v>7</v>
      </c>
      <c r="J5" s="27" t="s">
        <v>8</v>
      </c>
      <c r="K5" s="27" t="s">
        <v>9</v>
      </c>
      <c r="L5" s="28" t="s">
        <v>8</v>
      </c>
      <c r="N5" s="17" t="s">
        <v>10</v>
      </c>
    </row>
    <row r="6" spans="2:25" x14ac:dyDescent="0.25">
      <c r="I6" s="16">
        <v>8300</v>
      </c>
      <c r="J6" s="29">
        <v>9800</v>
      </c>
      <c r="K6" s="29">
        <v>8619</v>
      </c>
      <c r="L6" s="30">
        <v>7200</v>
      </c>
      <c r="N6" s="15">
        <v>0.82499999999999996</v>
      </c>
    </row>
    <row r="7" spans="2:25" x14ac:dyDescent="0.25">
      <c r="C7" s="5"/>
      <c r="D7" s="5"/>
      <c r="E7" s="5"/>
      <c r="F7" s="5"/>
      <c r="I7" s="5"/>
      <c r="J7" s="5"/>
      <c r="K7" s="5"/>
      <c r="L7" s="5"/>
      <c r="N7" s="5"/>
    </row>
    <row r="8" spans="2:25" x14ac:dyDescent="0.25">
      <c r="C8" s="47" t="s">
        <v>33</v>
      </c>
      <c r="D8" s="48"/>
      <c r="E8" s="48"/>
      <c r="F8" s="48"/>
      <c r="G8" s="49"/>
      <c r="I8" s="47" t="s">
        <v>31</v>
      </c>
      <c r="J8" s="48"/>
      <c r="K8" s="48"/>
      <c r="L8" s="49"/>
      <c r="N8" s="47" t="s">
        <v>30</v>
      </c>
      <c r="O8" s="48"/>
      <c r="P8" s="48"/>
      <c r="Q8" s="48"/>
      <c r="R8" s="49"/>
      <c r="T8" s="47" t="s">
        <v>28</v>
      </c>
      <c r="U8" s="48"/>
      <c r="V8" s="49"/>
      <c r="X8" s="51" t="s">
        <v>24</v>
      </c>
      <c r="Y8" s="52"/>
    </row>
    <row r="9" spans="2:25" s="1" customFormat="1" x14ac:dyDescent="0.25">
      <c r="B9" s="34" t="s">
        <v>2</v>
      </c>
      <c r="C9" s="35" t="s">
        <v>3</v>
      </c>
      <c r="D9" s="40" t="s">
        <v>4</v>
      </c>
      <c r="E9" s="35" t="s">
        <v>5</v>
      </c>
      <c r="F9" s="40" t="s">
        <v>32</v>
      </c>
      <c r="G9" s="42" t="s">
        <v>6</v>
      </c>
      <c r="I9" s="34" t="s">
        <v>3</v>
      </c>
      <c r="J9" s="35" t="s">
        <v>4</v>
      </c>
      <c r="K9" s="40" t="s">
        <v>5</v>
      </c>
      <c r="L9" s="35" t="s">
        <v>32</v>
      </c>
      <c r="N9" s="34" t="s">
        <v>3</v>
      </c>
      <c r="O9" s="35" t="s">
        <v>4</v>
      </c>
      <c r="P9" s="40" t="s">
        <v>5</v>
      </c>
      <c r="Q9" s="35" t="s">
        <v>32</v>
      </c>
      <c r="R9" s="36" t="s">
        <v>19</v>
      </c>
      <c r="T9" s="34" t="s">
        <v>29</v>
      </c>
      <c r="U9" s="35" t="s">
        <v>21</v>
      </c>
      <c r="V9" s="36" t="s">
        <v>22</v>
      </c>
      <c r="X9" s="31" t="s">
        <v>26</v>
      </c>
      <c r="Y9" s="32" t="s">
        <v>27</v>
      </c>
    </row>
    <row r="10" spans="2:25" x14ac:dyDescent="0.25">
      <c r="B10" s="44"/>
      <c r="C10" s="38" t="s">
        <v>0</v>
      </c>
      <c r="D10" s="41" t="s">
        <v>1</v>
      </c>
      <c r="E10" s="38" t="s">
        <v>1</v>
      </c>
      <c r="F10" s="41" t="s">
        <v>1</v>
      </c>
      <c r="G10" s="43"/>
      <c r="I10" s="37" t="s">
        <v>15</v>
      </c>
      <c r="J10" s="38" t="s">
        <v>16</v>
      </c>
      <c r="K10" s="41" t="s">
        <v>16</v>
      </c>
      <c r="L10" s="38" t="s">
        <v>17</v>
      </c>
      <c r="N10" s="37" t="s">
        <v>18</v>
      </c>
      <c r="O10" s="38" t="s">
        <v>18</v>
      </c>
      <c r="P10" s="41" t="s">
        <v>18</v>
      </c>
      <c r="Q10" s="38" t="s">
        <v>18</v>
      </c>
      <c r="R10" s="39" t="s">
        <v>18</v>
      </c>
      <c r="T10" s="37" t="s">
        <v>20</v>
      </c>
      <c r="U10" s="38" t="s">
        <v>20</v>
      </c>
      <c r="V10" s="39" t="s">
        <v>20</v>
      </c>
      <c r="X10" s="19" t="s">
        <v>25</v>
      </c>
      <c r="Y10" s="33" t="s">
        <v>25</v>
      </c>
    </row>
    <row r="11" spans="2:25" x14ac:dyDescent="0.25">
      <c r="B11" s="4">
        <v>2007</v>
      </c>
      <c r="C11" s="2">
        <v>1.9510000000000001</v>
      </c>
      <c r="D11" s="2">
        <v>3.1970000000000001</v>
      </c>
      <c r="E11" s="2">
        <v>3.1760000000000002</v>
      </c>
      <c r="F11" s="2">
        <v>2.8029999999999999</v>
      </c>
      <c r="G11" s="3" t="s">
        <v>13</v>
      </c>
      <c r="I11" s="6">
        <v>11991059.560000001</v>
      </c>
      <c r="J11" s="6">
        <v>1898200</v>
      </c>
      <c r="K11" s="6">
        <v>632847.67000000004</v>
      </c>
      <c r="L11" s="6">
        <v>589353</v>
      </c>
      <c r="N11" s="6">
        <f>+I11*C11</f>
        <v>23394557.201560002</v>
      </c>
      <c r="O11" s="6">
        <f>+J11*D11</f>
        <v>6068545.4000000004</v>
      </c>
      <c r="P11" s="6">
        <f>+K11*E11</f>
        <v>2009924.1999200003</v>
      </c>
      <c r="Q11" s="6">
        <f>+L11*F11</f>
        <v>1651956.459</v>
      </c>
      <c r="R11" s="8">
        <f>SUM(N11:Q11)</f>
        <v>33124983.260480002</v>
      </c>
      <c r="T11" s="8">
        <v>60994489</v>
      </c>
      <c r="U11" s="8">
        <v>3457581</v>
      </c>
      <c r="V11" s="8">
        <f>+U11+T11</f>
        <v>64452070</v>
      </c>
      <c r="X11" s="12">
        <f>+R11/V11</f>
        <v>0.51394754676583698</v>
      </c>
      <c r="Y11" s="11">
        <v>0.51</v>
      </c>
    </row>
    <row r="12" spans="2:25" x14ac:dyDescent="0.25">
      <c r="B12" s="4">
        <v>2008</v>
      </c>
      <c r="C12" s="2">
        <v>1.9510000000000001</v>
      </c>
      <c r="D12" s="2">
        <v>3.1970000000000001</v>
      </c>
      <c r="E12" s="2">
        <v>3.1760000000000002</v>
      </c>
      <c r="F12" s="2">
        <v>2.8029999999999999</v>
      </c>
      <c r="G12" s="3" t="s">
        <v>13</v>
      </c>
      <c r="I12" s="7">
        <v>13096039</v>
      </c>
      <c r="J12" s="7">
        <v>2346209</v>
      </c>
      <c r="K12" s="7">
        <v>694877.8</v>
      </c>
      <c r="L12" s="6">
        <v>803418</v>
      </c>
      <c r="N12" s="6">
        <f t="shared" ref="N12:N21" si="0">+I12*C12</f>
        <v>25550372.089000002</v>
      </c>
      <c r="O12" s="6">
        <f t="shared" ref="O12:O21" si="1">+J12*D12</f>
        <v>7500830.1730000004</v>
      </c>
      <c r="P12" s="6">
        <f t="shared" ref="P12:P21" si="2">+K12*E12</f>
        <v>2206931.8928</v>
      </c>
      <c r="Q12" s="6">
        <f t="shared" ref="Q12:Q21" si="3">+L12*F12</f>
        <v>2251980.6540000001</v>
      </c>
      <c r="R12" s="8">
        <f t="shared" ref="R12:R21" si="4">SUM(N12:Q12)</f>
        <v>37510114.808800004</v>
      </c>
      <c r="T12" s="8">
        <v>69432728</v>
      </c>
      <c r="U12" s="8">
        <v>793828</v>
      </c>
      <c r="V12" s="8">
        <f t="shared" ref="V12:V21" si="5">+U12+T12</f>
        <v>70226556</v>
      </c>
      <c r="X12" s="12">
        <f t="shared" ref="X12:X21" si="6">+R12/V12</f>
        <v>0.53413006340222646</v>
      </c>
      <c r="Y12" s="11">
        <v>0.52500000000000002</v>
      </c>
    </row>
    <row r="13" spans="2:25" x14ac:dyDescent="0.25">
      <c r="B13" s="4">
        <v>2009</v>
      </c>
      <c r="C13" s="2">
        <v>1.9510000000000001</v>
      </c>
      <c r="D13" s="2">
        <v>3.1970000000000001</v>
      </c>
      <c r="E13" s="2">
        <v>3.1760000000000002</v>
      </c>
      <c r="F13" s="2">
        <v>2.8029999999999999</v>
      </c>
      <c r="G13" s="3" t="s">
        <v>13</v>
      </c>
      <c r="I13" s="7">
        <v>12566537</v>
      </c>
      <c r="J13" s="7">
        <v>1602871</v>
      </c>
      <c r="K13" s="7">
        <v>806179.5</v>
      </c>
      <c r="L13" s="6">
        <v>795737.5</v>
      </c>
      <c r="N13" s="6">
        <f t="shared" si="0"/>
        <v>24517313.686999999</v>
      </c>
      <c r="O13" s="6">
        <f t="shared" si="1"/>
        <v>5124378.5870000003</v>
      </c>
      <c r="P13" s="6">
        <f t="shared" si="2"/>
        <v>2560426.0920000002</v>
      </c>
      <c r="Q13" s="6">
        <f t="shared" si="3"/>
        <v>2230452.2124999999</v>
      </c>
      <c r="R13" s="8">
        <f t="shared" si="4"/>
        <v>34432570.578500003</v>
      </c>
      <c r="T13" s="8">
        <v>64580085</v>
      </c>
      <c r="U13" s="8">
        <v>1044477</v>
      </c>
      <c r="V13" s="8">
        <f t="shared" si="5"/>
        <v>65624562</v>
      </c>
      <c r="X13" s="12">
        <f t="shared" si="6"/>
        <v>0.52469029170053738</v>
      </c>
      <c r="Y13" s="11">
        <f t="shared" ref="Y13:Y20" si="7">+AVERAGE(X11:X13)</f>
        <v>0.52425596728953361</v>
      </c>
    </row>
    <row r="14" spans="2:25" x14ac:dyDescent="0.25">
      <c r="B14" s="4">
        <v>2010</v>
      </c>
      <c r="C14" s="2">
        <v>1.9510000000000001</v>
      </c>
      <c r="D14" s="2">
        <v>3.1970000000000001</v>
      </c>
      <c r="E14" s="2">
        <v>3.1760000000000002</v>
      </c>
      <c r="F14" s="2">
        <v>2.8029999999999999</v>
      </c>
      <c r="G14" s="3" t="s">
        <v>13</v>
      </c>
      <c r="I14" s="7">
        <v>11543751</v>
      </c>
      <c r="J14" s="7">
        <v>2260376</v>
      </c>
      <c r="K14" s="7">
        <v>1377508</v>
      </c>
      <c r="L14" s="6">
        <v>873896</v>
      </c>
      <c r="N14" s="6">
        <f t="shared" si="0"/>
        <v>22521858.201000001</v>
      </c>
      <c r="O14" s="6">
        <f t="shared" si="1"/>
        <v>7226422.0719999997</v>
      </c>
      <c r="P14" s="6">
        <f t="shared" si="2"/>
        <v>4374965.4079999998</v>
      </c>
      <c r="Q14" s="6">
        <f t="shared" si="3"/>
        <v>2449530.4879999999</v>
      </c>
      <c r="R14" s="8">
        <f t="shared" si="4"/>
        <v>36572776.169</v>
      </c>
      <c r="T14" s="8">
        <v>69640447</v>
      </c>
      <c r="U14" s="8">
        <v>1405189</v>
      </c>
      <c r="V14" s="8">
        <f t="shared" si="5"/>
        <v>71045636</v>
      </c>
      <c r="X14" s="12">
        <f t="shared" si="6"/>
        <v>0.51477864409574714</v>
      </c>
      <c r="Y14" s="11">
        <f t="shared" si="7"/>
        <v>0.52453299973283707</v>
      </c>
    </row>
    <row r="15" spans="2:25" x14ac:dyDescent="0.25">
      <c r="B15" s="4">
        <v>2011</v>
      </c>
      <c r="C15" s="2">
        <v>1.9510000000000001</v>
      </c>
      <c r="D15" s="2">
        <v>3.1970000000000001</v>
      </c>
      <c r="E15" s="2">
        <v>3.1760000000000002</v>
      </c>
      <c r="F15" s="2">
        <v>2.8029999999999999</v>
      </c>
      <c r="G15" s="3" t="s">
        <v>13</v>
      </c>
      <c r="I15" s="6">
        <v>17069341.306999981</v>
      </c>
      <c r="J15" s="6">
        <v>1286118.914000001</v>
      </c>
      <c r="K15" s="6">
        <v>1397357.6400000011</v>
      </c>
      <c r="L15" s="6">
        <v>653617.278999998</v>
      </c>
      <c r="N15" s="6">
        <f t="shared" si="0"/>
        <v>33302284.889956966</v>
      </c>
      <c r="O15" s="6">
        <f t="shared" si="1"/>
        <v>4111722.1680580033</v>
      </c>
      <c r="P15" s="6">
        <f t="shared" si="2"/>
        <v>4438007.864640004</v>
      </c>
      <c r="Q15" s="6">
        <f t="shared" si="3"/>
        <v>1832089.2330369945</v>
      </c>
      <c r="R15" s="8">
        <f t="shared" si="4"/>
        <v>43684104.155691966</v>
      </c>
      <c r="T15" s="8">
        <v>76477760</v>
      </c>
      <c r="U15" s="8">
        <v>412757</v>
      </c>
      <c r="V15" s="8">
        <f t="shared" si="5"/>
        <v>76890517</v>
      </c>
      <c r="X15" s="12">
        <f t="shared" si="6"/>
        <v>0.5681338331447553</v>
      </c>
      <c r="Y15" s="11">
        <f t="shared" si="7"/>
        <v>0.5358675896470132</v>
      </c>
    </row>
    <row r="16" spans="2:25" x14ac:dyDescent="0.25">
      <c r="B16" s="4">
        <v>2012</v>
      </c>
      <c r="C16" s="2">
        <v>1.9510000000000001</v>
      </c>
      <c r="D16" s="2">
        <v>3.1970000000000001</v>
      </c>
      <c r="E16" s="2">
        <v>3.1760000000000002</v>
      </c>
      <c r="F16" s="2">
        <v>2.8029999999999999</v>
      </c>
      <c r="G16" s="3" t="s">
        <v>13</v>
      </c>
      <c r="I16" s="7">
        <v>15548566.609000016</v>
      </c>
      <c r="J16" s="7">
        <v>2650590.58400001</v>
      </c>
      <c r="K16" s="7">
        <v>2380868.11499999</v>
      </c>
      <c r="L16" s="6">
        <v>727846.05599999824</v>
      </c>
      <c r="N16" s="6">
        <f t="shared" si="0"/>
        <v>30335253.454159033</v>
      </c>
      <c r="O16" s="6">
        <f t="shared" si="1"/>
        <v>8473938.097048033</v>
      </c>
      <c r="P16" s="6">
        <f t="shared" si="2"/>
        <v>7561637.1332399687</v>
      </c>
      <c r="Q16" s="6">
        <f t="shared" si="3"/>
        <v>2040152.494967995</v>
      </c>
      <c r="R16" s="8">
        <f t="shared" si="4"/>
        <v>48410981.179415032</v>
      </c>
      <c r="T16" s="8">
        <v>82278401.752852157</v>
      </c>
      <c r="U16" s="8">
        <v>422763</v>
      </c>
      <c r="V16" s="8">
        <f t="shared" si="5"/>
        <v>82701164.752852157</v>
      </c>
      <c r="X16" s="12">
        <f t="shared" si="6"/>
        <v>0.58537242279584045</v>
      </c>
      <c r="Y16" s="11">
        <f t="shared" si="7"/>
        <v>0.556094966678781</v>
      </c>
    </row>
    <row r="17" spans="2:25" x14ac:dyDescent="0.25">
      <c r="B17" s="4">
        <v>2013</v>
      </c>
      <c r="C17" s="2">
        <v>1.9510000000000001</v>
      </c>
      <c r="D17" s="2">
        <v>3.1970000000000001</v>
      </c>
      <c r="E17" s="2">
        <v>3.1760000000000002</v>
      </c>
      <c r="F17" s="2">
        <v>2.8029999999999999</v>
      </c>
      <c r="G17" s="3" t="s">
        <v>13</v>
      </c>
      <c r="I17" s="7">
        <v>14400186.572000006</v>
      </c>
      <c r="J17" s="7">
        <v>3088228.0800000047</v>
      </c>
      <c r="K17" s="7">
        <v>1847621.5980750031</v>
      </c>
      <c r="L17" s="6">
        <v>949100.9549999981</v>
      </c>
      <c r="N17" s="6">
        <f t="shared" si="0"/>
        <v>28094764.001972012</v>
      </c>
      <c r="O17" s="6">
        <f t="shared" si="1"/>
        <v>9873065.1717600152</v>
      </c>
      <c r="P17" s="6">
        <f t="shared" si="2"/>
        <v>5868046.1954862103</v>
      </c>
      <c r="Q17" s="6">
        <f t="shared" si="3"/>
        <v>2660329.9768649945</v>
      </c>
      <c r="R17" s="8">
        <f t="shared" si="4"/>
        <v>46496205.346083231</v>
      </c>
      <c r="T17" s="8">
        <v>82327344</v>
      </c>
      <c r="U17" s="8">
        <v>342300</v>
      </c>
      <c r="V17" s="8">
        <f t="shared" si="5"/>
        <v>82669644</v>
      </c>
      <c r="X17" s="12">
        <f t="shared" si="6"/>
        <v>0.56243384023866405</v>
      </c>
      <c r="Y17" s="11">
        <f t="shared" si="7"/>
        <v>0.57198003205975334</v>
      </c>
    </row>
    <row r="18" spans="2:25" x14ac:dyDescent="0.25">
      <c r="B18" s="4">
        <v>2014</v>
      </c>
      <c r="C18" s="2">
        <v>1.9510000000000001</v>
      </c>
      <c r="D18" s="2">
        <v>3.1970000000000001</v>
      </c>
      <c r="E18" s="2">
        <v>3.1760000000000002</v>
      </c>
      <c r="F18" s="2">
        <v>2.8029999999999999</v>
      </c>
      <c r="G18" s="3" t="s">
        <v>13</v>
      </c>
      <c r="I18" s="7">
        <v>14542907</v>
      </c>
      <c r="J18" s="7">
        <v>2714937.75</v>
      </c>
      <c r="K18" s="7">
        <v>1487518.2329826923</v>
      </c>
      <c r="L18" s="6">
        <v>1004377</v>
      </c>
      <c r="N18" s="6">
        <f t="shared" si="0"/>
        <v>28373211.557</v>
      </c>
      <c r="O18" s="6">
        <f t="shared" si="1"/>
        <v>8679655.9867500011</v>
      </c>
      <c r="P18" s="6">
        <f t="shared" si="2"/>
        <v>4724357.9079530314</v>
      </c>
      <c r="Q18" s="6">
        <f t="shared" si="3"/>
        <v>2815268.7310000001</v>
      </c>
      <c r="R18" s="8">
        <f t="shared" si="4"/>
        <v>44592494.182703033</v>
      </c>
      <c r="T18" s="8">
        <v>82605841.743495241</v>
      </c>
      <c r="U18" s="8">
        <v>1389600</v>
      </c>
      <c r="V18" s="8">
        <f t="shared" si="5"/>
        <v>83995441.743495241</v>
      </c>
      <c r="X18" s="12">
        <f t="shared" si="6"/>
        <v>0.53089183480788538</v>
      </c>
      <c r="Y18" s="11">
        <f t="shared" si="7"/>
        <v>0.55956603261412996</v>
      </c>
    </row>
    <row r="19" spans="2:25" x14ac:dyDescent="0.25">
      <c r="B19" s="4">
        <v>2015</v>
      </c>
      <c r="C19" s="2">
        <v>1.9359999999999999</v>
      </c>
      <c r="D19" s="2">
        <v>3.1269999999999998</v>
      </c>
      <c r="E19" s="2">
        <v>3.1859999999999999</v>
      </c>
      <c r="F19" s="2">
        <v>2.4409999999999998</v>
      </c>
      <c r="G19" s="3" t="s">
        <v>14</v>
      </c>
      <c r="I19" s="7">
        <v>14915139</v>
      </c>
      <c r="J19" s="7">
        <v>2918363.7268800004</v>
      </c>
      <c r="K19" s="6">
        <v>1847759.1742499997</v>
      </c>
      <c r="L19" s="6">
        <v>949101</v>
      </c>
      <c r="N19" s="6">
        <f t="shared" si="0"/>
        <v>28875709.103999998</v>
      </c>
      <c r="O19" s="6">
        <f t="shared" si="1"/>
        <v>9125723.3739537615</v>
      </c>
      <c r="P19" s="6">
        <f t="shared" si="2"/>
        <v>5886960.7291604988</v>
      </c>
      <c r="Q19" s="6">
        <f t="shared" si="3"/>
        <v>2316755.5409999997</v>
      </c>
      <c r="R19" s="8">
        <f t="shared" si="4"/>
        <v>46205148.748114266</v>
      </c>
      <c r="T19" s="8">
        <v>85929716.120455295</v>
      </c>
      <c r="U19" s="8">
        <v>1654695</v>
      </c>
      <c r="V19" s="8">
        <f t="shared" si="5"/>
        <v>87584411.120455295</v>
      </c>
      <c r="X19" s="12">
        <f t="shared" si="6"/>
        <v>0.52754991621246483</v>
      </c>
      <c r="Y19" s="11">
        <f t="shared" si="7"/>
        <v>0.54029186375300475</v>
      </c>
    </row>
    <row r="20" spans="2:25" x14ac:dyDescent="0.25">
      <c r="B20" s="4">
        <v>2016</v>
      </c>
      <c r="C20" s="2">
        <v>1.9359999999999999</v>
      </c>
      <c r="D20" s="2">
        <v>3.1269999999999998</v>
      </c>
      <c r="E20" s="2">
        <v>3.1859999999999999</v>
      </c>
      <c r="F20" s="2">
        <v>2.4409999999999998</v>
      </c>
      <c r="G20" s="3" t="s">
        <v>14</v>
      </c>
      <c r="I20" s="6">
        <v>16002489</v>
      </c>
      <c r="J20" s="6">
        <v>2650582.2270000004</v>
      </c>
      <c r="K20" s="6">
        <v>1964213.625</v>
      </c>
      <c r="L20" s="6">
        <v>727846</v>
      </c>
      <c r="N20" s="6">
        <f t="shared" si="0"/>
        <v>30980818.704</v>
      </c>
      <c r="O20" s="6">
        <f t="shared" si="1"/>
        <v>8288370.6238290006</v>
      </c>
      <c r="P20" s="6">
        <f t="shared" si="2"/>
        <v>6257984.6092499997</v>
      </c>
      <c r="Q20" s="6">
        <f t="shared" si="3"/>
        <v>1776672.0859999999</v>
      </c>
      <c r="R20" s="8">
        <f t="shared" si="4"/>
        <v>47303846.023079008</v>
      </c>
      <c r="T20" s="8">
        <v>90067851.200000003</v>
      </c>
      <c r="U20" s="8">
        <v>1470000</v>
      </c>
      <c r="V20" s="8">
        <f t="shared" si="5"/>
        <v>91537851.200000003</v>
      </c>
      <c r="X20" s="12">
        <f t="shared" si="6"/>
        <v>0.51676815003801402</v>
      </c>
      <c r="Y20" s="11">
        <f t="shared" si="7"/>
        <v>0.52506996701945463</v>
      </c>
    </row>
    <row r="21" spans="2:25" x14ac:dyDescent="0.25">
      <c r="B21" s="4">
        <v>2017</v>
      </c>
      <c r="C21" s="2">
        <v>1.9359999999999999</v>
      </c>
      <c r="D21" s="2">
        <v>3.1269999999999998</v>
      </c>
      <c r="E21" s="2">
        <v>3.1859999999999999</v>
      </c>
      <c r="F21" s="2">
        <v>2.4409999999999998</v>
      </c>
      <c r="G21" s="3" t="s">
        <v>14</v>
      </c>
      <c r="I21" s="6">
        <v>17264617</v>
      </c>
      <c r="J21" s="6">
        <v>1286243.5660000001</v>
      </c>
      <c r="K21" s="6">
        <v>1152427.3216499998</v>
      </c>
      <c r="L21" s="6">
        <v>653617.27899999998</v>
      </c>
      <c r="N21" s="6">
        <f t="shared" si="0"/>
        <v>33424298.511999998</v>
      </c>
      <c r="O21" s="6">
        <f t="shared" si="1"/>
        <v>4022083.6308820001</v>
      </c>
      <c r="P21" s="6">
        <f t="shared" si="2"/>
        <v>3671633.4467768995</v>
      </c>
      <c r="Q21" s="6">
        <f t="shared" si="3"/>
        <v>1595479.7780389998</v>
      </c>
      <c r="R21" s="8">
        <f t="shared" si="4"/>
        <v>42713495.367697895</v>
      </c>
      <c r="T21" s="8">
        <v>88298352.365995318</v>
      </c>
      <c r="U21" s="8">
        <v>734000</v>
      </c>
      <c r="V21" s="8">
        <f t="shared" si="5"/>
        <v>89032352.365995318</v>
      </c>
      <c r="X21" s="12">
        <f t="shared" si="6"/>
        <v>0.47975251953481718</v>
      </c>
      <c r="Y21" s="11">
        <f>+AVERAGE(X19:X21)</f>
        <v>0.50802352859509869</v>
      </c>
    </row>
    <row r="22" spans="2:25" x14ac:dyDescent="0.25">
      <c r="B22" s="4">
        <v>2018</v>
      </c>
      <c r="C22" s="2">
        <v>1.9359999999999999</v>
      </c>
      <c r="D22" s="2">
        <v>3.1269999999999998</v>
      </c>
      <c r="E22" s="2">
        <v>3.1859999999999999</v>
      </c>
      <c r="F22" s="2">
        <v>2.4409999999999998</v>
      </c>
      <c r="G22" s="3" t="s">
        <v>14</v>
      </c>
    </row>
  </sheetData>
  <sortState ref="W12:Y17">
    <sortCondition descending="1" ref="W12:W17"/>
  </sortState>
  <mergeCells count="6">
    <mergeCell ref="C8:G8"/>
    <mergeCell ref="I3:L3"/>
    <mergeCell ref="X8:Y8"/>
    <mergeCell ref="T8:V8"/>
    <mergeCell ref="N8:R8"/>
    <mergeCell ref="I8:L8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10"/>
  <sheetViews>
    <sheetView tabSelected="1" workbookViewId="0">
      <selection activeCell="B12" sqref="B12"/>
    </sheetView>
  </sheetViews>
  <sheetFormatPr baseColWidth="10" defaultRowHeight="15" x14ac:dyDescent="0.25"/>
  <cols>
    <col min="2" max="2" width="77.85546875" customWidth="1"/>
  </cols>
  <sheetData>
    <row r="2" spans="2:2" x14ac:dyDescent="0.25">
      <c r="B2" s="54" t="s">
        <v>36</v>
      </c>
    </row>
    <row r="4" spans="2:2" ht="30" x14ac:dyDescent="0.25">
      <c r="B4" s="53" t="s">
        <v>37</v>
      </c>
    </row>
    <row r="6" spans="2:2" ht="45" x14ac:dyDescent="0.25">
      <c r="B6" s="53" t="s">
        <v>38</v>
      </c>
    </row>
    <row r="7" spans="2:2" ht="30" x14ac:dyDescent="0.25">
      <c r="B7" s="53" t="s">
        <v>39</v>
      </c>
    </row>
    <row r="9" spans="2:2" ht="45" x14ac:dyDescent="0.25">
      <c r="B9" s="53" t="s">
        <v>40</v>
      </c>
    </row>
    <row r="10" spans="2:2" ht="30" x14ac:dyDescent="0.25">
      <c r="B10" s="53" t="s">
        <v>41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FACTOR DE EMISION OM SIMPLE</vt:lpstr>
      <vt:lpstr>CALCULO</vt:lpstr>
      <vt:lpstr>METODOLOGIA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2019-03-28T14:29:00Z</dcterms:modified>
</cp:coreProperties>
</file>